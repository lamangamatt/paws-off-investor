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Projection Summary" sheetId="1" r:id="rId4"/>
    <sheet state="visible" name="Notes &amp; Assumptions" sheetId="2" r:id="rId5"/>
  </sheets>
  <definedNames/>
  <calcPr/>
  <extLst>
    <ext uri="GoogleSheetsCustomDataVersion2">
      <go:sheetsCustomData xmlns:go="http://customooxmlschemas.google.com/" r:id="rId6" roundtripDataChecksum="nKMdgpkJV0qTLYnJzz890xI3IYkomtQ3hZZoE66G1YU="/>
    </ext>
  </extLst>
</workbook>
</file>

<file path=xl/sharedStrings.xml><?xml version="1.0" encoding="utf-8"?>
<sst xmlns="http://schemas.openxmlformats.org/spreadsheetml/2006/main" count="90" uniqueCount="86">
  <si>
    <t>PAWS OFF  ·  Project Cost Projection</t>
  </si>
  <si>
    <t>All figures in USD  ·  Ranges reflect scenario uncertainty  ·  April 2026</t>
  </si>
  <si>
    <t>Category</t>
  </si>
  <si>
    <t>Line Item</t>
  </si>
  <si>
    <t>Low</t>
  </si>
  <si>
    <t>High</t>
  </si>
  <si>
    <t>Notes / Assumptions</t>
  </si>
  <si>
    <t>Retainer (Fixed)</t>
  </si>
  <si>
    <t>MIDS Monthly Retainer × 12 months</t>
  </si>
  <si>
    <t>$6,000/mo × 6, &amp; 12 months – fixed cost per client guidance</t>
  </si>
  <si>
    <t>Tooling</t>
  </si>
  <si>
    <t>Housing Mold Tooling (2 sets, 8 pieces each)</t>
  </si>
  <si>
    <t>Per ALLI BSPY quote 12/18/2025. High allows for mold revisions or second supplier. Additional tooling for dip-tube may be required.</t>
  </si>
  <si>
    <t>Sample / Pre-Tooling Prototypes</t>
  </si>
  <si>
    <t>Supplier note: 3k to Alli Products for 5 prototypes, 7k to M42 for 3-4 prototypes</t>
  </si>
  <si>
    <t>Subtotal</t>
  </si>
  <si>
    <r>
      <t xml:space="preserve">Production (Unit Economics)
</t>
    </r>
    <r>
      <rPr>
        <rFont val="Calibri"/>
        <b val="0"/>
        <color theme="1"/>
        <sz val="10.0"/>
      </rPr>
      <t>(Subject to change based on sampling outcomes)</t>
    </r>
  </si>
  <si>
    <t>Unit Cost – Housing, PCB, Alarm, Assembly, Packaging (MOQ 5,000)</t>
  </si>
  <si>
    <t>Per ALLI BSPY quote. Excludes aerosol can and spray fill.</t>
  </si>
  <si>
    <t>Aerosol Can + Capsaicin Fill (estimated)</t>
  </si>
  <si>
    <t>Industry estimate for 7.9 oz aerosol can + 2% capsaicinoid fill at contract filler.</t>
  </si>
  <si>
    <t>Total Unit COGS (MOQ 5,000)</t>
  </si>
  <si>
    <t>Sum of device + aerosol. Excludes freight, duties, and warehousing.</t>
  </si>
  <si>
    <t>First Production Run – 5,000 units</t>
  </si>
  <si>
    <t>Unit COGS × 5,000 MOQ.</t>
  </si>
  <si>
    <t>EPA Registration</t>
  </si>
  <si>
    <t>PRIA Fee – B660 Me-Too Application (target pathway)</t>
  </si>
  <si>
    <t>75% SB discount = $963. Full fee = $1,925. Applies if formulation is substantially similar to existing registered product.</t>
  </si>
  <si>
    <t>PRIA Fee – B670 New Product (fallback if B660 denied)</t>
  </si>
  <si>
    <t>75% SB discount = $1,922. Full fee = $7,689. Only if me-too pathway is rejected.</t>
  </si>
  <si>
    <t>Pre-Application Determination – B614 (×1 rationale)</t>
  </si>
  <si>
    <t>75% SB discount = $953. 50% = $1,905. Full = $3,809. Per Gina's email: use for scientific rationale / marketing claim determination.</t>
  </si>
  <si>
    <t>Product Chemistry Lab Testing (40 CFR 158.2030)</t>
  </si>
  <si>
    <t>GLP lab contract for product-specific chemistry. Waiver possible for some tests.</t>
  </si>
  <si>
    <t>Annual Federal Maintenance Fee (Year 1, post-registration)</t>
  </si>
  <si>
    <t>Per ACTA overview: ~$4,900/product/year.</t>
  </si>
  <si>
    <t>State Registration – 50 States (Year 1, post-federal)</t>
  </si>
  <si>
    <t>Per ACTA overview: ~$25,000 for all 50 states. Low assumes phased rollout (30 states first year).</t>
  </si>
  <si>
    <t>Regulatory Consulting (ACTA)</t>
  </si>
  <si>
    <t>Phase I – Registration Strategy &amp; Data Compensation Analysis</t>
  </si>
  <si>
    <t>ACTA proposal: $8,000–$12,000. Low = 50% of ACTA low. High = ACTA stated maximum.</t>
  </si>
  <si>
    <t>Phase II – Data Requirements &amp; Application Preparation</t>
  </si>
  <si>
    <t>ACTA proposal: $15,000–$30,000. Low = 50% of ACTA low. High = ACTA stated maximum.</t>
  </si>
  <si>
    <t>Phase III – Application Monitoring &amp; EPA Shepherding</t>
  </si>
  <si>
    <t>Baseline monitoring through approval. Low = 50% of estimated mid.</t>
  </si>
  <si>
    <t>Compliance – Nozzle / Device</t>
  </si>
  <si>
    <t>Nozzle &amp; Aerosol Device Compliance Consulting</t>
  </si>
  <si>
    <t>User estimate: $3,000–$10,000. Covers DOT, CPSC, and aerosol device regulatory review.</t>
  </si>
  <si>
    <t>Web &amp; Digital</t>
  </si>
  <si>
    <t>Website Templates</t>
  </si>
  <si>
    <t>Fixed cost per client guidance.</t>
  </si>
  <si>
    <t>Domain &amp; Hosting (Year 1)</t>
  </si>
  <si>
    <t>Variable; estimated ~$250/year per client guidance.</t>
  </si>
  <si>
    <t>Legal</t>
  </si>
  <si>
    <t>Patent Application (Utility – novel multisensory spray device)</t>
  </si>
  <si>
    <t>Provisional + non-provisional utility patent. Range reflects attorney hourly variance and claim complexity.</t>
  </si>
  <si>
    <t>Trademark Registration (USPTO – 1–2 classes)</t>
  </si>
  <si>
    <t>USPTO filing fees ($350/class) + attorney fees. Low = 1 class DIY-assisted; High = 2 classes full-service.</t>
  </si>
  <si>
    <t>General Compliance Review (FIFRA, FTC, labeling)</t>
  </si>
  <si>
    <t>Attorney review of product label, marketing claims, and FIFRA compliance. Medium-low estimate.</t>
  </si>
  <si>
    <t>TOTAL</t>
  </si>
  <si>
    <t>GRAND TOTAL (excl. unit production run)</t>
  </si>
  <si>
    <t>Excludes $30k–$37k first production run, state renewal fees, freight, duties, and warehousing.</t>
  </si>
  <si>
    <t>PAWS OFF  ·  Cost Projection Notes &amp; Assumptions</t>
  </si>
  <si>
    <t>PRIA Small Business Discount</t>
  </si>
  <si>
    <t>EPA PRIA 5 allows qualifying small businesses a 50% or 75% fee reduction. The Low column reflects the 75% discount (most favorable). Mid reflects 50% discount. High reflects full fee. Paws Off should apply for small business status with the application.</t>
  </si>
  <si>
    <t>B660 vs B670 Pathway</t>
  </si>
  <si>
    <t>B660 (Me-Too, $1,925 full fee) is the target pathway — 6-month review. B670 ($7,689 full fee) is the fallback if EPA determines the Paws Off formulation is not substantially similar to an existing registered product — 9-month review. The novel multisensory device (alarm + strobe) does NOT affect formulation similarity — it is a delivery device, not a formulation change.</t>
  </si>
  <si>
    <t>B614 Pre-Application Determination</t>
  </si>
  <si>
    <t>Per Gina's email: use B614 ($3,809 full fee, 3-month review) to get a ruling on a specific scientific rationale or marketing/efficacy claim before submitting the full application. Recommended for any novel claims related to the alarm/strobe deterrent effectiveness. Fee is per rationale — budget for 1 rationale in this projection.</t>
  </si>
  <si>
    <t>ACTA Consulting – Phase Structure</t>
  </si>
  <si>
    <t>Phase I ($8k–$12k per ACTA): Registration strategy, data compensation analysis, confirm data requirements. Phase II ($15k–$30k per ACTA): Refine requirements, prepare application. Phase III: Monitor application through EPA review. Low column = 50% of ACTA proposal figures. High column = ACTA stated maximums. ACTA requires a $10,000 opening retainer (credited to Phase I fees). Note: ACTA quoted $7,689 for the B670 pathway fee — this projection uses the correct PRIA schedule figures.</t>
  </si>
  <si>
    <t>Product Chemistry Testing</t>
  </si>
  <si>
    <t>40 CFR 158.2030 requires product-specific chemistry data (EP notation). This cannot be waived and must be conducted on the Paws Off formulation regardless of pathway. Estimated $5k–$15k depending on number of tests and lab selected.</t>
  </si>
  <si>
    <t>Acute Toxicity Testing (NOT included in this projection)</t>
  </si>
  <si>
    <t>If B660 me-too pathway is approved and existing data can be cited, the 6-pack acute toxicity studies (oral, dermal, inhalation, eye irritation, dermal irritation, dermal sensitization) may be waived. If B670 pathway is required, these studies cost $20k–$40k per ACTA overview. This projection assumes the me-too pathway succeeds and these costs are avoided.</t>
  </si>
  <si>
    <t>Tooling Figures</t>
  </si>
  <si>
    <t>Based on ALLI BSPY Initial Quotation dated 12/18/2025. Housing mold tooling: $12,784.09 USD (2 sets, 8 pieces each). Unit cost at MOQ 5,000: $3.49/unit (excludes aerosol can and spray fill). Aerosol fill estimated separately at $2.50–$4.00/unit based on industry benchmarks for 7.9 oz cans.</t>
  </si>
  <si>
    <t>State Registrations</t>
  </si>
  <si>
    <t>Federal registration must be obtained before state applications can be filed. Most states complete in a few weeks; CA, NY, and FL may take months. Annual renewal for all 50 states: ~$25,000/year per ACTA overview. Low assumes phased rollout (approx. 30 states in Year 1).</t>
  </si>
  <si>
    <t>Legal Fees</t>
  </si>
  <si>
    <t>Patent: Utility patent for novel multisensory deterrent device (alarm + strobe + spray). Provisional filing recommended first (~$2k–$3k) to establish priority date, then non-provisional. Trademark: USPTO filing fee $350/class; attorney fees vary by firm. Compliance review: FTC Green Guides, FIFRA label compliance, and general product liability review. All legal estimates are medium-low range per client guidance.</t>
  </si>
  <si>
    <t>Nozzle / Device Compliance</t>
  </si>
  <si>
    <t>Covers DOT aerosol regulations (49 CFR), CPSC requirements, and any UL/CE considerations for the electronic components (alarm, strobe). Estimate: $3,000–$10,000 per client guidance.</t>
  </si>
  <si>
    <t>Exclusions</t>
  </si>
  <si>
    <t>This projection excludes: state registration renewal fees (Year 2+), annual FIFRA maintenance fees after Year 1, import duties and freight, warehousing and fulfillment, sales/marketing spend, insurance, data compensation payments to incumbent registrants (if applicable), and any acute toxicity or efficacy testing (assumed waived via me-too pathway).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</si>
</sst>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888888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555555"/>
      <name val="Calibri"/>
    </font>
    <font>
      <b/>
      <sz val="11.0"/>
      <color theme="1"/>
      <name val="Calibri"/>
    </font>
    <font>
      <b/>
      <sz val="14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A2B3C"/>
        <bgColor rgb="FF1A2B3C"/>
      </patternFill>
    </fill>
    <fill>
      <patternFill patternType="solid">
        <fgColor rgb="FFFFFFFF"/>
        <bgColor rgb="FFFFFFFF"/>
      </patternFill>
    </fill>
    <fill>
      <patternFill patternType="solid">
        <fgColor rgb="FF2E4A62"/>
        <bgColor rgb="FF2E4A6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F0FB"/>
        <bgColor rgb="FFEAF0FB"/>
      </patternFill>
    </fill>
    <fill>
      <patternFill patternType="solid">
        <fgColor rgb="FFFEFBD8"/>
        <bgColor rgb="FFFEFBD8"/>
      </patternFill>
    </fill>
    <fill>
      <patternFill patternType="solid">
        <fgColor rgb="FFFFF2CC"/>
        <bgColor rgb="FFFFF2CC"/>
      </patternFill>
    </fill>
    <fill>
      <patternFill patternType="solid">
        <fgColor rgb="FFDDDDDD"/>
        <bgColor rgb="FFDDDDDD"/>
      </patternFill>
    </fill>
    <fill>
      <patternFill patternType="solid">
        <fgColor rgb="FFFDFEFE"/>
        <bgColor rgb="FFFDFEFE"/>
      </patternFill>
    </fill>
    <fill>
      <patternFill patternType="solid">
        <fgColor rgb="FFEBF5EB"/>
        <bgColor rgb="FFEBF5EB"/>
      </patternFill>
    </fill>
    <fill>
      <patternFill patternType="solid">
        <fgColor rgb="FFFDF2F8"/>
        <bgColor rgb="FFFDF2F8"/>
      </patternFill>
    </fill>
    <fill>
      <patternFill patternType="solid">
        <fgColor rgb="FFFEF9E7"/>
        <bgColor rgb="FFFEF9E7"/>
      </patternFill>
    </fill>
    <fill>
      <patternFill patternType="solid">
        <fgColor rgb="FFE8E8E8"/>
        <bgColor rgb="FFE8E8E8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shrinkToFit="0" vertical="center" wrapText="1"/>
    </xf>
    <xf borderId="4" fillId="5" fontId="7" numFmtId="164" xfId="0" applyAlignment="1" applyBorder="1" applyFont="1" applyNumberFormat="1">
      <alignment horizontal="right" readingOrder="0" vertical="center"/>
    </xf>
    <xf borderId="4" fillId="6" fontId="7" numFmtId="164" xfId="0" applyAlignment="1" applyBorder="1" applyFont="1" applyNumberFormat="1">
      <alignment horizontal="right" vertical="center"/>
    </xf>
    <xf borderId="4" fillId="7" fontId="8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shrinkToFit="0" vertical="center" wrapText="1"/>
    </xf>
    <xf borderId="4" fillId="6" fontId="7" numFmtId="164" xfId="0" applyAlignment="1" applyBorder="1" applyFont="1" applyNumberFormat="1">
      <alignment horizontal="right" readingOrder="0" vertical="center"/>
    </xf>
    <xf borderId="4" fillId="8" fontId="8" numFmtId="0" xfId="0" applyAlignment="1" applyBorder="1" applyFont="1">
      <alignment horizontal="left" readingOrder="0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9" fontId="7" numFmtId="164" xfId="0" applyAlignment="1" applyBorder="1" applyFill="1" applyFont="1" applyNumberFormat="1">
      <alignment horizontal="right" readingOrder="0" vertical="center"/>
    </xf>
    <xf borderId="4" fillId="10" fontId="6" numFmtId="0" xfId="0" applyAlignment="1" applyBorder="1" applyFill="1" applyFont="1">
      <alignment horizontal="left" shrinkToFit="0" vertical="top" wrapText="1"/>
    </xf>
    <xf borderId="4" fillId="10" fontId="6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shrinkToFit="0" vertical="center" wrapText="1"/>
    </xf>
    <xf borderId="4" fillId="10" fontId="6" numFmtId="164" xfId="0" applyAlignment="1" applyBorder="1" applyFont="1" applyNumberFormat="1">
      <alignment horizontal="right" vertical="center"/>
    </xf>
    <xf borderId="4" fillId="10" fontId="8" numFmtId="0" xfId="0" applyAlignment="1" applyBorder="1" applyFont="1">
      <alignment horizontal="left" shrinkToFit="0" vertical="center" wrapText="1"/>
    </xf>
    <xf borderId="4" fillId="11" fontId="6" numFmtId="0" xfId="0" applyAlignment="1" applyBorder="1" applyFill="1" applyFont="1">
      <alignment horizontal="left" readingOrder="0" shrinkToFit="0" vertical="top" wrapText="1"/>
    </xf>
    <xf borderId="4" fillId="11" fontId="7" numFmtId="0" xfId="0" applyAlignment="1" applyBorder="1" applyFont="1">
      <alignment horizontal="left" shrinkToFit="0" vertical="center" wrapText="1"/>
    </xf>
    <xf borderId="4" fillId="11" fontId="7" numFmtId="0" xfId="0" applyAlignment="1" applyBorder="1" applyFont="1">
      <alignment shrinkToFit="0" vertical="center" wrapText="1"/>
    </xf>
    <xf borderId="4" fillId="5" fontId="7" numFmtId="164" xfId="0" applyAlignment="1" applyBorder="1" applyFont="1" applyNumberFormat="1">
      <alignment horizontal="right" vertical="center"/>
    </xf>
    <xf borderId="4" fillId="11" fontId="8" numFmtId="0" xfId="0" applyAlignment="1" applyBorder="1" applyFont="1">
      <alignment horizontal="left" shrinkToFit="0" vertical="center" wrapText="1"/>
    </xf>
    <xf borderId="4" fillId="11" fontId="7" numFmtId="0" xfId="0" applyAlignment="1" applyBorder="1" applyFont="1">
      <alignment horizontal="left" shrinkToFit="0" vertical="top" wrapText="1"/>
    </xf>
    <xf borderId="4" fillId="12" fontId="6" numFmtId="0" xfId="0" applyAlignment="1" applyBorder="1" applyFill="1" applyFont="1">
      <alignment horizontal="left" shrinkToFit="0" vertical="top" wrapText="1"/>
    </xf>
    <xf borderId="4" fillId="12" fontId="7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left" shrinkToFit="0" vertical="top" wrapText="1"/>
    </xf>
    <xf borderId="4" fillId="13" fontId="6" numFmtId="0" xfId="0" applyAlignment="1" applyBorder="1" applyFill="1" applyFont="1">
      <alignment horizontal="left" shrinkToFit="0" vertical="top" wrapText="1"/>
    </xf>
    <xf borderId="4" fillId="13" fontId="7" numFmtId="0" xfId="0" applyAlignment="1" applyBorder="1" applyFont="1">
      <alignment horizontal="left" shrinkToFit="0" vertical="center" wrapText="1"/>
    </xf>
    <xf borderId="4" fillId="13" fontId="7" numFmtId="0" xfId="0" applyAlignment="1" applyBorder="1" applyFont="1">
      <alignment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4" fillId="13" fontId="7" numFmtId="0" xfId="0" applyAlignment="1" applyBorder="1" applyFont="1">
      <alignment horizontal="left" shrinkToFit="0" vertical="top" wrapText="1"/>
    </xf>
    <xf borderId="4" fillId="14" fontId="6" numFmtId="0" xfId="0" applyAlignment="1" applyBorder="1" applyFill="1" applyFont="1">
      <alignment horizontal="left" shrinkToFit="0" vertical="top" wrapText="1"/>
    </xf>
    <xf borderId="4" fillId="14" fontId="7" numFmtId="0" xfId="0" applyAlignment="1" applyBorder="1" applyFont="1">
      <alignment horizontal="left" shrinkToFit="0" vertical="center" wrapText="1"/>
    </xf>
    <xf borderId="4" fillId="14" fontId="7" numFmtId="0" xfId="0" applyAlignment="1" applyBorder="1" applyFont="1">
      <alignment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top" wrapText="1"/>
    </xf>
    <xf borderId="4" fillId="14" fontId="7" numFmtId="0" xfId="0" applyAlignment="1" applyBorder="1" applyFont="1">
      <alignment horizontal="left" shrinkToFit="0" vertical="top" wrapText="1"/>
    </xf>
    <xf borderId="4" fillId="15" fontId="6" numFmtId="0" xfId="0" applyAlignment="1" applyBorder="1" applyFill="1" applyFont="1">
      <alignment horizontal="left" shrinkToFit="0" vertical="top" wrapText="1"/>
    </xf>
    <xf borderId="4" fillId="15" fontId="6" numFmtId="0" xfId="0" applyAlignment="1" applyBorder="1" applyFont="1">
      <alignment horizontal="left" shrinkToFit="0" vertical="center" wrapText="1"/>
    </xf>
    <xf borderId="4" fillId="15" fontId="6" numFmtId="0" xfId="0" applyAlignment="1" applyBorder="1" applyFont="1">
      <alignment shrinkToFit="0" vertical="center" wrapText="1"/>
    </xf>
    <xf borderId="4" fillId="15" fontId="9" numFmtId="164" xfId="0" applyAlignment="1" applyBorder="1" applyFont="1" applyNumberFormat="1">
      <alignment horizontal="right" vertical="center"/>
    </xf>
    <xf borderId="4" fillId="15" fontId="8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vertical="center"/>
    </xf>
    <xf borderId="4" fillId="16" fontId="6" numFmtId="0" xfId="0" applyAlignment="1" applyBorder="1" applyFill="1" applyFont="1">
      <alignment horizontal="left" shrinkToFit="0" vertical="top" wrapText="1"/>
    </xf>
    <xf borderId="4" fillId="16" fontId="7" numFmtId="0" xfId="0" applyAlignment="1" applyBorder="1" applyFont="1">
      <alignment horizontal="left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4" fillId="3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2.0"/>
    <col customWidth="1" min="4" max="5" width="16.0"/>
    <col customWidth="1" min="6" max="6" width="2.0"/>
    <col customWidth="1" min="7" max="7" width="38.0"/>
    <col customWidth="1" min="8" max="25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 ht="18.0" customHeight="1">
      <c r="A2" s="4" t="s">
        <v>1</v>
      </c>
      <c r="B2" s="2"/>
      <c r="C2" s="2"/>
      <c r="D2" s="2"/>
      <c r="E2" s="2"/>
      <c r="F2" s="2"/>
      <c r="G2" s="3"/>
    </row>
    <row r="3" ht="25.5" customHeight="1">
      <c r="A3" s="5" t="s">
        <v>2</v>
      </c>
      <c r="B3" s="5" t="s">
        <v>3</v>
      </c>
      <c r="C3" s="6"/>
      <c r="D3" s="7" t="s">
        <v>4</v>
      </c>
      <c r="E3" s="8" t="s">
        <v>5</v>
      </c>
      <c r="F3" s="6"/>
      <c r="G3" s="5" t="s">
        <v>6</v>
      </c>
    </row>
    <row r="4" ht="30.0" customHeight="1">
      <c r="A4" s="9" t="s">
        <v>7</v>
      </c>
      <c r="B4" s="10" t="s">
        <v>8</v>
      </c>
      <c r="C4" s="11"/>
      <c r="D4" s="12">
        <v>36000.0</v>
      </c>
      <c r="E4" s="13">
        <v>72000.0</v>
      </c>
      <c r="F4" s="11"/>
      <c r="G4" s="14" t="s">
        <v>9</v>
      </c>
    </row>
    <row r="5" ht="30.0" customHeight="1">
      <c r="A5" s="15" t="s">
        <v>10</v>
      </c>
      <c r="B5" s="16" t="s">
        <v>11</v>
      </c>
      <c r="C5" s="17"/>
      <c r="D5" s="12">
        <v>12000.0</v>
      </c>
      <c r="E5" s="18">
        <v>20000.0</v>
      </c>
      <c r="F5" s="17"/>
      <c r="G5" s="19" t="s">
        <v>12</v>
      </c>
    </row>
    <row r="6" ht="30.0" customHeight="1">
      <c r="A6" s="20"/>
      <c r="B6" s="16" t="s">
        <v>13</v>
      </c>
      <c r="C6" s="17"/>
      <c r="D6" s="21">
        <v>10000.0</v>
      </c>
      <c r="E6" s="21">
        <v>10000.0</v>
      </c>
      <c r="F6" s="17"/>
      <c r="G6" s="19" t="s">
        <v>14</v>
      </c>
    </row>
    <row r="7" ht="30.0" customHeight="1">
      <c r="A7" s="22"/>
      <c r="B7" s="23" t="s">
        <v>15</v>
      </c>
      <c r="C7" s="24"/>
      <c r="D7" s="25">
        <f t="shared" ref="D7:E7" si="1">SUM(D4,D5,D6)</f>
        <v>58000</v>
      </c>
      <c r="E7" s="25">
        <f t="shared" si="1"/>
        <v>102000</v>
      </c>
      <c r="F7" s="24"/>
      <c r="G7" s="26"/>
    </row>
    <row r="8" ht="40.5" customHeight="1">
      <c r="A8" s="27" t="s">
        <v>16</v>
      </c>
      <c r="B8" s="28" t="s">
        <v>17</v>
      </c>
      <c r="C8" s="29"/>
      <c r="D8" s="30">
        <v>3.49</v>
      </c>
      <c r="E8" s="13">
        <v>3.49</v>
      </c>
      <c r="F8" s="29"/>
      <c r="G8" s="31" t="s">
        <v>18</v>
      </c>
    </row>
    <row r="9" ht="30.0" customHeight="1">
      <c r="A9" s="32"/>
      <c r="B9" s="28" t="s">
        <v>19</v>
      </c>
      <c r="C9" s="29"/>
      <c r="D9" s="30">
        <v>2.5</v>
      </c>
      <c r="E9" s="13">
        <v>4.0</v>
      </c>
      <c r="F9" s="29"/>
      <c r="G9" s="31" t="s">
        <v>20</v>
      </c>
    </row>
    <row r="10" ht="30.0" customHeight="1">
      <c r="A10" s="32"/>
      <c r="B10" s="28" t="s">
        <v>21</v>
      </c>
      <c r="C10" s="29"/>
      <c r="D10" s="30">
        <v>5.99</v>
      </c>
      <c r="E10" s="13">
        <v>7.49</v>
      </c>
      <c r="F10" s="29"/>
      <c r="G10" s="31" t="s">
        <v>22</v>
      </c>
    </row>
    <row r="11" ht="30.0" customHeight="1">
      <c r="A11" s="32"/>
      <c r="B11" s="28" t="s">
        <v>23</v>
      </c>
      <c r="C11" s="29"/>
      <c r="D11" s="30">
        <v>29950.0</v>
      </c>
      <c r="E11" s="13">
        <v>37450.0</v>
      </c>
      <c r="F11" s="29"/>
      <c r="G11" s="31" t="s">
        <v>24</v>
      </c>
    </row>
    <row r="12" ht="30.0" customHeight="1">
      <c r="A12" s="33" t="s">
        <v>25</v>
      </c>
      <c r="B12" s="34" t="s">
        <v>26</v>
      </c>
      <c r="C12" s="35"/>
      <c r="D12" s="30">
        <v>963.0</v>
      </c>
      <c r="E12" s="13">
        <v>1925.0</v>
      </c>
      <c r="F12" s="35"/>
      <c r="G12" s="36" t="s">
        <v>27</v>
      </c>
    </row>
    <row r="13" ht="30.0" customHeight="1">
      <c r="A13" s="37"/>
      <c r="B13" s="34" t="s">
        <v>28</v>
      </c>
      <c r="C13" s="35"/>
      <c r="D13" s="30">
        <v>1922.0</v>
      </c>
      <c r="E13" s="13">
        <v>7689.0</v>
      </c>
      <c r="F13" s="35"/>
      <c r="G13" s="36" t="s">
        <v>29</v>
      </c>
    </row>
    <row r="14" ht="30.0" customHeight="1">
      <c r="A14" s="37"/>
      <c r="B14" s="34" t="s">
        <v>30</v>
      </c>
      <c r="C14" s="35"/>
      <c r="D14" s="30">
        <v>953.0</v>
      </c>
      <c r="E14" s="13">
        <v>3809.0</v>
      </c>
      <c r="F14" s="35"/>
      <c r="G14" s="36" t="s">
        <v>31</v>
      </c>
    </row>
    <row r="15" ht="30.0" customHeight="1">
      <c r="A15" s="37"/>
      <c r="B15" s="34" t="s">
        <v>32</v>
      </c>
      <c r="C15" s="35"/>
      <c r="D15" s="30">
        <v>5000.0</v>
      </c>
      <c r="E15" s="13">
        <v>15000.0</v>
      </c>
      <c r="F15" s="35"/>
      <c r="G15" s="36" t="s">
        <v>33</v>
      </c>
    </row>
    <row r="16" ht="30.0" customHeight="1">
      <c r="A16" s="37"/>
      <c r="B16" s="34" t="s">
        <v>34</v>
      </c>
      <c r="C16" s="35"/>
      <c r="D16" s="30">
        <v>4900.0</v>
      </c>
      <c r="E16" s="13">
        <v>4900.0</v>
      </c>
      <c r="F16" s="35"/>
      <c r="G16" s="36" t="s">
        <v>35</v>
      </c>
    </row>
    <row r="17" ht="30.0" customHeight="1">
      <c r="A17" s="37"/>
      <c r="B17" s="34" t="s">
        <v>36</v>
      </c>
      <c r="C17" s="35"/>
      <c r="D17" s="30">
        <v>15000.0</v>
      </c>
      <c r="E17" s="13">
        <v>25000.0</v>
      </c>
      <c r="F17" s="35"/>
      <c r="G17" s="36" t="s">
        <v>37</v>
      </c>
    </row>
    <row r="18" ht="30.0" customHeight="1">
      <c r="A18" s="22"/>
      <c r="B18" s="23" t="s">
        <v>15</v>
      </c>
      <c r="C18" s="24"/>
      <c r="D18" s="25">
        <f t="shared" ref="D18:E18" si="2">SUM(D12,D13,D14,D15,D16,D17)</f>
        <v>28738</v>
      </c>
      <c r="E18" s="25">
        <f t="shared" si="2"/>
        <v>58323</v>
      </c>
      <c r="F18" s="24"/>
      <c r="G18" s="26"/>
    </row>
    <row r="19" ht="30.0" customHeight="1">
      <c r="A19" s="38" t="s">
        <v>38</v>
      </c>
      <c r="B19" s="39" t="s">
        <v>39</v>
      </c>
      <c r="C19" s="40"/>
      <c r="D19" s="12">
        <v>5000.0</v>
      </c>
      <c r="E19" s="13">
        <v>12000.0</v>
      </c>
      <c r="F19" s="40"/>
      <c r="G19" s="41" t="s">
        <v>40</v>
      </c>
    </row>
    <row r="20" ht="30.0" customHeight="1">
      <c r="A20" s="42"/>
      <c r="B20" s="39" t="s">
        <v>41</v>
      </c>
      <c r="C20" s="40"/>
      <c r="D20" s="30">
        <v>7500.0</v>
      </c>
      <c r="E20" s="13">
        <v>30000.0</v>
      </c>
      <c r="F20" s="40"/>
      <c r="G20" s="41" t="s">
        <v>42</v>
      </c>
    </row>
    <row r="21" ht="30.0" customHeight="1">
      <c r="A21" s="42"/>
      <c r="B21" s="39" t="s">
        <v>43</v>
      </c>
      <c r="C21" s="40"/>
      <c r="D21" s="30">
        <v>2500.0</v>
      </c>
      <c r="E21" s="13">
        <v>10000.0</v>
      </c>
      <c r="F21" s="40"/>
      <c r="G21" s="41" t="s">
        <v>44</v>
      </c>
    </row>
    <row r="22" ht="30.0" customHeight="1">
      <c r="A22" s="22"/>
      <c r="B22" s="23" t="s">
        <v>15</v>
      </c>
      <c r="C22" s="24"/>
      <c r="D22" s="25">
        <f t="shared" ref="D22:E22" si="3">SUM(D19,D20,D21)</f>
        <v>15000</v>
      </c>
      <c r="E22" s="25">
        <f t="shared" si="3"/>
        <v>52000</v>
      </c>
      <c r="F22" s="24"/>
      <c r="G22" s="26"/>
    </row>
    <row r="23" ht="30.0" customHeight="1">
      <c r="A23" s="43" t="s">
        <v>45</v>
      </c>
      <c r="B23" s="44" t="s">
        <v>46</v>
      </c>
      <c r="C23" s="45"/>
      <c r="D23" s="30">
        <v>3000.0</v>
      </c>
      <c r="E23" s="13">
        <v>10000.0</v>
      </c>
      <c r="F23" s="45"/>
      <c r="G23" s="46" t="s">
        <v>47</v>
      </c>
    </row>
    <row r="24" ht="30.0" customHeight="1">
      <c r="A24" s="9" t="s">
        <v>48</v>
      </c>
      <c r="B24" s="10" t="s">
        <v>49</v>
      </c>
      <c r="C24" s="11"/>
      <c r="D24" s="30">
        <v>400.0</v>
      </c>
      <c r="E24" s="13">
        <v>400.0</v>
      </c>
      <c r="F24" s="11"/>
      <c r="G24" s="47" t="s">
        <v>50</v>
      </c>
    </row>
    <row r="25" ht="30.0" customHeight="1">
      <c r="A25" s="48"/>
      <c r="B25" s="10" t="s">
        <v>51</v>
      </c>
      <c r="C25" s="11"/>
      <c r="D25" s="30">
        <v>200.0</v>
      </c>
      <c r="E25" s="13">
        <v>300.0</v>
      </c>
      <c r="F25" s="11"/>
      <c r="G25" s="47" t="s">
        <v>52</v>
      </c>
    </row>
    <row r="26" ht="30.0" customHeight="1">
      <c r="A26" s="22"/>
      <c r="B26" s="23" t="s">
        <v>15</v>
      </c>
      <c r="C26" s="24"/>
      <c r="D26" s="25">
        <f t="shared" ref="D26:E26" si="4">SUM(D24,D25)</f>
        <v>600</v>
      </c>
      <c r="E26" s="25">
        <f t="shared" si="4"/>
        <v>700</v>
      </c>
      <c r="F26" s="24"/>
      <c r="G26" s="26"/>
    </row>
    <row r="27" ht="30.0" customHeight="1">
      <c r="A27" s="43" t="s">
        <v>53</v>
      </c>
      <c r="B27" s="44" t="s">
        <v>54</v>
      </c>
      <c r="C27" s="45"/>
      <c r="D27" s="12">
        <v>5200.0</v>
      </c>
      <c r="E27" s="18">
        <v>15000.0</v>
      </c>
      <c r="F27" s="45"/>
      <c r="G27" s="46" t="s">
        <v>55</v>
      </c>
    </row>
    <row r="28" ht="30.0" customHeight="1">
      <c r="A28" s="49"/>
      <c r="B28" s="44" t="s">
        <v>56</v>
      </c>
      <c r="C28" s="45"/>
      <c r="D28" s="30">
        <v>1500.0</v>
      </c>
      <c r="E28" s="13">
        <v>4000.0</v>
      </c>
      <c r="F28" s="45"/>
      <c r="G28" s="46" t="s">
        <v>57</v>
      </c>
    </row>
    <row r="29" ht="30.0" customHeight="1">
      <c r="A29" s="49"/>
      <c r="B29" s="44" t="s">
        <v>58</v>
      </c>
      <c r="C29" s="45"/>
      <c r="D29" s="30">
        <v>2000.0</v>
      </c>
      <c r="E29" s="13">
        <v>6000.0</v>
      </c>
      <c r="F29" s="45"/>
      <c r="G29" s="46" t="s">
        <v>59</v>
      </c>
    </row>
    <row r="30" ht="30.0" customHeight="1">
      <c r="A30" s="22"/>
      <c r="B30" s="23" t="s">
        <v>15</v>
      </c>
      <c r="C30" s="24"/>
      <c r="D30" s="25">
        <f t="shared" ref="D30:E30" si="5">SUM(D27,D28,D29)</f>
        <v>8700</v>
      </c>
      <c r="E30" s="25">
        <f t="shared" si="5"/>
        <v>25000</v>
      </c>
      <c r="F30" s="24"/>
      <c r="G30" s="26"/>
    </row>
    <row r="31" ht="36.0" customHeight="1">
      <c r="A31" s="50" t="s">
        <v>60</v>
      </c>
      <c r="B31" s="51" t="s">
        <v>61</v>
      </c>
      <c r="C31" s="52"/>
      <c r="D31" s="53">
        <f>SUM(D7,D18,D22,D23,D26,D30)</f>
        <v>114038</v>
      </c>
      <c r="E31" s="53">
        <f>SUM(E4,E7,E18,E22,E23,E26,E30)</f>
        <v>320023</v>
      </c>
      <c r="F31" s="52"/>
      <c r="G31" s="54" t="s">
        <v>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2.0"/>
    <col customWidth="1" min="3" max="26" width="8.71"/>
  </cols>
  <sheetData>
    <row r="1" ht="36.0" customHeight="1">
      <c r="A1" s="55" t="s">
        <v>63</v>
      </c>
      <c r="B1" s="3"/>
    </row>
    <row r="2" ht="64.5" customHeight="1">
      <c r="A2" s="56" t="s">
        <v>64</v>
      </c>
      <c r="B2" s="57" t="s">
        <v>65</v>
      </c>
    </row>
    <row r="3" ht="64.5" customHeight="1">
      <c r="A3" s="58" t="s">
        <v>66</v>
      </c>
      <c r="B3" s="59" t="s">
        <v>67</v>
      </c>
    </row>
    <row r="4" ht="64.5" customHeight="1">
      <c r="A4" s="56" t="s">
        <v>68</v>
      </c>
      <c r="B4" s="57" t="s">
        <v>69</v>
      </c>
    </row>
    <row r="5" ht="64.5" customHeight="1">
      <c r="A5" s="58" t="s">
        <v>70</v>
      </c>
      <c r="B5" s="59" t="s">
        <v>71</v>
      </c>
    </row>
    <row r="6" ht="64.5" customHeight="1">
      <c r="A6" s="56" t="s">
        <v>72</v>
      </c>
      <c r="B6" s="57" t="s">
        <v>73</v>
      </c>
    </row>
    <row r="7" ht="64.5" customHeight="1">
      <c r="A7" s="58" t="s">
        <v>74</v>
      </c>
      <c r="B7" s="59" t="s">
        <v>75</v>
      </c>
    </row>
    <row r="8" ht="64.5" customHeight="1">
      <c r="A8" s="56" t="s">
        <v>76</v>
      </c>
      <c r="B8" s="57" t="s">
        <v>77</v>
      </c>
    </row>
    <row r="9" ht="64.5" customHeight="1">
      <c r="A9" s="58" t="s">
        <v>78</v>
      </c>
      <c r="B9" s="59" t="s">
        <v>79</v>
      </c>
    </row>
    <row r="10" ht="64.5" customHeight="1">
      <c r="A10" s="56" t="s">
        <v>80</v>
      </c>
      <c r="B10" s="57" t="s">
        <v>81</v>
      </c>
    </row>
    <row r="11" ht="64.5" customHeight="1">
      <c r="A11" s="58" t="s">
        <v>82</v>
      </c>
      <c r="B11" s="59" t="s">
        <v>83</v>
      </c>
    </row>
    <row r="12" ht="64.5" customHeight="1">
      <c r="A12" s="56" t="s">
        <v>84</v>
      </c>
      <c r="B12" s="57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2026-04-13T19:06:21Z</dcterms:created>
  <dc:creator>openpyxl</dc:creator>
</cp:coreProperties>
</file>